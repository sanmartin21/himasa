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278221-B4E6-428E-ABB4-48A7CF2836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  <c r="E2" i="1"/>
  <c r="G2" i="1" s="1"/>
  <c r="F3" i="1" s="1"/>
  <c r="G3" i="1" s="1"/>
  <c r="F4" i="1" s="1"/>
  <c r="G4" i="1" s="1"/>
  <c r="F5" i="1" s="1"/>
  <c r="G5" i="1" s="1"/>
</calcChain>
</file>

<file path=xl/sharedStrings.xml><?xml version="1.0" encoding="utf-8"?>
<sst xmlns="http://schemas.openxmlformats.org/spreadsheetml/2006/main" count="13" uniqueCount="13">
  <si>
    <t>Ordem</t>
  </si>
  <si>
    <t>Cliente</t>
  </si>
  <si>
    <t>KG</t>
  </si>
  <si>
    <t>Produção (kg/h)</t>
  </si>
  <si>
    <t>Tempo (h)</t>
  </si>
  <si>
    <t>Início</t>
  </si>
  <si>
    <t>Término</t>
  </si>
  <si>
    <t>Kambé</t>
  </si>
  <si>
    <t>15/04/2026 12:00</t>
  </si>
  <si>
    <t>Costa Diniz</t>
  </si>
  <si>
    <t>Margarida</t>
  </si>
  <si>
    <t>Casa Sol</t>
  </si>
  <si>
    <t xml:space="preserve">Embalatrento 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</si>
</sst>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2" sqref="D12"/>
    </sheetView>
  </sheetViews>
  <sheetFormatPr defaultRowHeight="14.4" x14ac:dyDescent="0.3"/>
  <cols>
    <col min="1" max="1" width="8" customWidth="1"/>
    <col min="2" max="2" width="20" customWidth="1"/>
    <col min="3" max="3" width="12" customWidth="1"/>
    <col min="4" max="4" width="18" customWidth="1"/>
    <col min="5" max="5" width="12" customWidth="1"/>
    <col min="6" max="7" width="27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4000</v>
      </c>
      <c r="D2">
        <v>750</v>
      </c>
      <c r="E2">
        <f>C2/D2</f>
        <v>5.333333333333333</v>
      </c>
      <c r="F2" s="2" t="s">
        <v>8</v>
      </c>
      <c r="G2" s="2">
        <f>F2 + (E2/24)</f>
        <v>46127.722222222219</v>
      </c>
    </row>
    <row r="3" spans="1:7" x14ac:dyDescent="0.3">
      <c r="A3">
        <v>2</v>
      </c>
      <c r="B3" t="s">
        <v>9</v>
      </c>
      <c r="C3">
        <v>6000</v>
      </c>
      <c r="D3">
        <v>750</v>
      </c>
      <c r="E3">
        <f>C3/D3</f>
        <v>8</v>
      </c>
      <c r="F3" s="2">
        <f>G2</f>
        <v>46127.722222222219</v>
      </c>
      <c r="G3" s="2">
        <f>F3 + (E3/24)</f>
        <v>46128.055555555555</v>
      </c>
    </row>
    <row r="4" spans="1:7" x14ac:dyDescent="0.3">
      <c r="A4">
        <v>3</v>
      </c>
      <c r="B4" t="s">
        <v>10</v>
      </c>
      <c r="C4">
        <v>2100</v>
      </c>
      <c r="D4">
        <v>750</v>
      </c>
      <c r="E4">
        <f>C4/D4</f>
        <v>2.8</v>
      </c>
      <c r="F4" s="2">
        <f>G3</f>
        <v>46128.055555555555</v>
      </c>
      <c r="G4" s="2">
        <f>F4 + (E4/24)</f>
        <v>46128.172222222223</v>
      </c>
    </row>
    <row r="5" spans="1:7" x14ac:dyDescent="0.3">
      <c r="A5">
        <v>4</v>
      </c>
      <c r="B5" t="s">
        <v>11</v>
      </c>
      <c r="C5">
        <v>31000</v>
      </c>
      <c r="D5">
        <v>750</v>
      </c>
      <c r="E5">
        <f>C5/D5</f>
        <v>41.333333333333336</v>
      </c>
      <c r="F5" s="2">
        <f>G4</f>
        <v>46128.172222222223</v>
      </c>
      <c r="G5" s="2">
        <f>F5 + (E5/24)</f>
        <v>46129.894444444442</v>
      </c>
    </row>
    <row r="6" spans="1:7" x14ac:dyDescent="0.3">
      <c r="A6">
        <v>5</v>
      </c>
      <c r="B6" t="s">
        <v>12</v>
      </c>
      <c r="C6">
        <v>75000</v>
      </c>
      <c r="F6" s="2"/>
      <c r="G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Comercial Himasa</cp:lastModifiedBy>
  <dcterms:created xsi:type="dcterms:W3CDTF">2026-04-15T13:31:45Z</dcterms:created>
  <dcterms:modified xsi:type="dcterms:W3CDTF">2026-04-15T14:27:51Z</dcterms:modified>
</cp:coreProperties>
</file>